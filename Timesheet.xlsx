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ofnebraska-my.sharepoint.com/personal/98786439_nebraska_edu/Documents/Spring 26/CIVE 202/Project 4/Project 4- Group G/"/>
    </mc:Choice>
  </mc:AlternateContent>
  <xr:revisionPtr revIDLastSave="532" documentId="8_{46590344-662F-4F00-854D-4252A0A74C5A}" xr6:coauthVersionLast="47" xr6:coauthVersionMax="47" xr10:uidLastSave="{23AC8E9B-D4A8-49E8-B2DA-31CAD82C8DDC}"/>
  <bookViews>
    <workbookView minimized="1" xWindow="2304" yWindow="2304" windowWidth="17280" windowHeight="8880" activeTab="3" xr2:uid="{00000000-000D-0000-FFFF-FFFF00000000}"/>
  </bookViews>
  <sheets>
    <sheet name="Week Ending 4.4 " sheetId="9" r:id="rId1"/>
    <sheet name="week ending 4.18" sheetId="13" r:id="rId2"/>
    <sheet name="Week ending 4.21" sheetId="15" r:id="rId3"/>
    <sheet name="Summary" sheetId="4" r:id="rId4"/>
  </sheets>
  <definedNames>
    <definedName name="_4_20_2026">#REF!</definedName>
    <definedName name="Fatim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4" l="1"/>
  <c r="B7" i="4"/>
  <c r="F4" i="9" a="1"/>
  <c r="F4" i="9" s="1"/>
  <c r="F3" i="9" a="1"/>
  <c r="F3" i="9"/>
  <c r="G3" i="9" s="1"/>
  <c r="G9" i="13"/>
  <c r="F5" i="15" a="1"/>
  <c r="F5" i="15" s="1"/>
  <c r="G5" i="15" s="1"/>
  <c r="F6" i="15" a="1"/>
  <c r="F6" i="15" s="1"/>
  <c r="G6" i="15" s="1"/>
  <c r="F7" i="15" a="1"/>
  <c r="F7" i="15" s="1"/>
  <c r="G7" i="15" s="1"/>
  <c r="F8" i="15" a="1"/>
  <c r="F8" i="15" s="1"/>
  <c r="G8" i="15" s="1"/>
  <c r="B3" i="9"/>
  <c r="D9" i="15"/>
  <c r="F4" i="15" a="1"/>
  <c r="F4" i="15" s="1"/>
  <c r="G4" i="15" s="1"/>
  <c r="D9" i="13"/>
  <c r="F4" i="13" a="1"/>
  <c r="F4" i="13" s="1"/>
  <c r="G9" i="15" l="1"/>
  <c r="G4" i="13"/>
  <c r="D8" i="9" l="1"/>
  <c r="F7" i="9" a="1"/>
  <c r="F7" i="9" s="1"/>
  <c r="G7" i="9" s="1"/>
  <c r="F6" i="9" a="1"/>
  <c r="F6" i="9" s="1"/>
  <c r="G6" i="9" s="1"/>
  <c r="F5" i="9" a="1"/>
  <c r="F5" i="9" s="1"/>
  <c r="G5" i="9" s="1"/>
  <c r="G4" i="9"/>
  <c r="B4" i="9"/>
  <c r="B5" i="9" s="1"/>
  <c r="G8" i="9" l="1"/>
  <c r="B6" i="9"/>
  <c r="B7" i="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<sst xmlns="http://schemas.openxmlformats.org/spreadsheetml/2006/main" count="65" uniqueCount="28">
  <si>
    <t xml:space="preserve">Week Ending </t>
  </si>
  <si>
    <r>
      <rPr>
        <b/>
        <sz val="12"/>
        <color rgb="FF000000"/>
        <rFont val="Aptos"/>
        <family val="2"/>
      </rPr>
      <t>Day of Week</t>
    </r>
    <r>
      <rPr>
        <sz val="12"/>
        <color rgb="FF000000"/>
        <rFont val="Aptos"/>
        <family val="2"/>
      </rPr>
      <t> </t>
    </r>
  </si>
  <si>
    <r>
      <t>Date</t>
    </r>
    <r>
      <rPr>
        <sz val="12"/>
        <color theme="1"/>
        <rFont val="Aptos"/>
        <family val="2"/>
      </rPr>
      <t> </t>
    </r>
  </si>
  <si>
    <r>
      <t>Person</t>
    </r>
    <r>
      <rPr>
        <sz val="12"/>
        <color theme="1"/>
        <rFont val="Aptos"/>
        <family val="2"/>
      </rPr>
      <t> </t>
    </r>
  </si>
  <si>
    <r>
      <t>Hours Worked</t>
    </r>
    <r>
      <rPr>
        <sz val="12"/>
        <color theme="1"/>
        <rFont val="Aptos"/>
        <family val="2"/>
      </rPr>
      <t> </t>
    </r>
  </si>
  <si>
    <r>
      <t>Tasks completed</t>
    </r>
    <r>
      <rPr>
        <sz val="12"/>
        <color theme="1"/>
        <rFont val="Aptos"/>
        <family val="2"/>
      </rPr>
      <t> </t>
    </r>
  </si>
  <si>
    <r>
      <t>Hourly Rate</t>
    </r>
    <r>
      <rPr>
        <sz val="12"/>
        <color theme="1"/>
        <rFont val="Aptos"/>
        <family val="2"/>
      </rPr>
      <t> </t>
    </r>
  </si>
  <si>
    <r>
      <t>Total Compensation</t>
    </r>
    <r>
      <rPr>
        <sz val="12"/>
        <color theme="1"/>
        <rFont val="Aptos"/>
        <family val="2"/>
      </rPr>
      <t> </t>
    </r>
  </si>
  <si>
    <t>Michael</t>
  </si>
  <si>
    <t>Tuesday</t>
  </si>
  <si>
    <t>Wednesday</t>
  </si>
  <si>
    <t>Thursday</t>
  </si>
  <si>
    <t xml:space="preserve">Friday </t>
  </si>
  <si>
    <r>
      <t>Total</t>
    </r>
    <r>
      <rPr>
        <sz val="12"/>
        <color theme="1"/>
        <rFont val="Aptos"/>
        <family val="2"/>
      </rPr>
      <t> </t>
    </r>
  </si>
  <si>
    <t>Friday </t>
  </si>
  <si>
    <t>Timesheet Compiling/ Github Project Submission</t>
  </si>
  <si>
    <t>Person</t>
  </si>
  <si>
    <t>Total Hours</t>
  </si>
  <si>
    <t>Total Compensation</t>
  </si>
  <si>
    <t>Fatima</t>
  </si>
  <si>
    <t>Harrison</t>
  </si>
  <si>
    <t>Write levels of risk and creat maps for South Dakota and Iowa using Geopandas</t>
  </si>
  <si>
    <t xml:space="preserve">Monday </t>
  </si>
  <si>
    <t>Write introduction and methods for final report.</t>
  </si>
  <si>
    <t>Written Draft Scope of work</t>
  </si>
  <si>
    <t>create equation for risk score</t>
  </si>
  <si>
    <t xml:space="preserve">Create maps for South Dakota and add markdown comments for the final code to turn in </t>
  </si>
  <si>
    <t xml:space="preserve">Write annotated code document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</si>
</sst>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_([$$-409]* #,##0.00_);_([$$-409]* \(#,##0.00\);_([$$-409]* &quot;-&quot;??_);_(@_)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sz val="11"/>
      <color theme="1"/>
      <name val="Calibri"/>
      <family val="2"/>
      <scheme val="minor"/>
    </font>
    <font>
      <b/>
      <sz val="11"/>
      <color rgb="FF242424"/>
      <name val="Aptos Narrow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1" xfId="0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 wrapText="1"/>
    </xf>
    <xf numFmtId="0" fontId="3" fillId="0" borderId="2" xfId="0" applyFont="1" applyBorder="1" applyAlignment="1">
      <alignment vertical="center" wrapText="1"/>
    </xf>
    <xf numFmtId="14" fontId="1" fillId="0" borderId="1" xfId="0" applyNumberFormat="1" applyFont="1" applyBorder="1" applyAlignment="1">
      <alignment vertical="center" wrapText="1"/>
    </xf>
    <xf numFmtId="0" fontId="5" fillId="0" borderId="0" xfId="0" applyFont="1"/>
    <xf numFmtId="14" fontId="6" fillId="0" borderId="0" xfId="0" applyNumberFormat="1" applyFont="1"/>
    <xf numFmtId="164" fontId="1" fillId="0" borderId="6" xfId="0" applyNumberFormat="1" applyFont="1" applyBorder="1" applyAlignment="1">
      <alignment horizontal="center" vertical="center" wrapText="1"/>
    </xf>
    <xf numFmtId="164" fontId="1" fillId="0" borderId="8" xfId="0" applyNumberFormat="1" applyFont="1" applyBorder="1" applyAlignment="1">
      <alignment vertical="center" wrapText="1"/>
    </xf>
    <xf numFmtId="165" fontId="0" fillId="0" borderId="0" xfId="0" applyNumberFormat="1"/>
    <xf numFmtId="0" fontId="0" fillId="0" borderId="13" xfId="0" applyBorder="1"/>
    <xf numFmtId="0" fontId="0" fillId="0" borderId="13" xfId="0" applyBorder="1" applyAlignment="1">
      <alignment horizontal="center"/>
    </xf>
    <xf numFmtId="164" fontId="0" fillId="0" borderId="13" xfId="0" applyNumberFormat="1" applyBorder="1"/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9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BA8BE-1DAE-49AE-92F7-A87DE7031A1C}">
  <dimension ref="A1:G17"/>
  <sheetViews>
    <sheetView workbookViewId="0">
      <selection activeCell="G8" sqref="G8"/>
    </sheetView>
  </sheetViews>
  <sheetFormatPr defaultRowHeight="14.4" x14ac:dyDescent="0.3"/>
  <cols>
    <col min="1" max="1" width="14.6640625" customWidth="1"/>
    <col min="2" max="2" width="25.88671875" bestFit="1" customWidth="1"/>
    <col min="3" max="3" width="12.33203125" customWidth="1"/>
    <col min="4" max="4" width="18.33203125" customWidth="1"/>
    <col min="5" max="5" width="75.109375" customWidth="1"/>
    <col min="6" max="6" width="17.33203125" customWidth="1"/>
    <col min="7" max="7" width="21.33203125" customWidth="1"/>
  </cols>
  <sheetData>
    <row r="1" spans="1:7" x14ac:dyDescent="0.3">
      <c r="A1" s="10" t="s">
        <v>0</v>
      </c>
      <c r="B1" s="11">
        <v>46116</v>
      </c>
    </row>
    <row r="2" spans="1:7" ht="31.8" thickBot="1" x14ac:dyDescent="0.35">
      <c r="A2" s="8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</row>
    <row r="3" spans="1:7" ht="16.2" thickBot="1" x14ac:dyDescent="0.35">
      <c r="A3" s="9" t="s">
        <v>14</v>
      </c>
      <c r="B3" s="9">
        <f>B1-1</f>
        <v>46115</v>
      </c>
      <c r="C3" s="1" t="s">
        <v>8</v>
      </c>
      <c r="D3" s="6">
        <v>6</v>
      </c>
      <c r="E3" s="1" t="s">
        <v>24</v>
      </c>
      <c r="F3" s="7" cm="1">
        <f t="array" ref="F3">_xlfn.IFS(C3="Fatima",21.5,C3="Harrison",22.5,C3="Michael",21.5)</f>
        <v>21.5</v>
      </c>
      <c r="G3" s="12">
        <f>D3*F3</f>
        <v>129</v>
      </c>
    </row>
    <row r="4" spans="1:7" ht="16.2" thickBot="1" x14ac:dyDescent="0.35">
      <c r="A4" s="9" t="s">
        <v>9</v>
      </c>
      <c r="B4" s="9">
        <f>B3+1</f>
        <v>46116</v>
      </c>
      <c r="C4" s="1" t="s">
        <v>8</v>
      </c>
      <c r="D4" s="6">
        <v>0.5</v>
      </c>
      <c r="E4" s="1" t="s">
        <v>15</v>
      </c>
      <c r="F4" s="7" cm="1">
        <f t="array" ref="F4">_xlfn.IFS(C4="Fatima",21.5,C4="Harrison",22.5,C4="Michael",21.5)</f>
        <v>21.5</v>
      </c>
      <c r="G4" s="12">
        <f t="shared" ref="G4:G7" si="0">D4*F4</f>
        <v>10.75</v>
      </c>
    </row>
    <row r="5" spans="1:7" ht="16.2" hidden="1" thickBot="1" x14ac:dyDescent="0.35">
      <c r="A5" s="9" t="s">
        <v>10</v>
      </c>
      <c r="B5" s="9">
        <f>B4+1</f>
        <v>46117</v>
      </c>
      <c r="C5" s="1" t="s">
        <v>8</v>
      </c>
      <c r="D5" s="6">
        <v>0</v>
      </c>
      <c r="E5" s="1"/>
      <c r="F5" s="7" cm="1">
        <f t="array" ref="F5">_xlfn.IFS(C5="Tyler",21.5,C5="Jacob",22.5,C5="Michael",21.5)</f>
        <v>21.5</v>
      </c>
      <c r="G5" s="12">
        <f t="shared" si="0"/>
        <v>0</v>
      </c>
    </row>
    <row r="6" spans="1:7" ht="16.2" hidden="1" thickBot="1" x14ac:dyDescent="0.35">
      <c r="A6" s="9" t="s">
        <v>11</v>
      </c>
      <c r="B6" s="9">
        <f t="shared" ref="B6" si="1">B5+1</f>
        <v>46118</v>
      </c>
      <c r="C6" s="1" t="s">
        <v>8</v>
      </c>
      <c r="D6" s="6">
        <v>0</v>
      </c>
      <c r="E6" s="1"/>
      <c r="F6" s="7" cm="1">
        <f t="array" ref="F6">_xlfn.IFS(C6="Tyler",21.5,C6="Jacob",22.5,C6="Michael",21.5)</f>
        <v>21.5</v>
      </c>
      <c r="G6" s="12">
        <f t="shared" si="0"/>
        <v>0</v>
      </c>
    </row>
    <row r="7" spans="1:7" ht="16.2" hidden="1" thickBot="1" x14ac:dyDescent="0.35">
      <c r="A7" s="4" t="s">
        <v>14</v>
      </c>
      <c r="B7" s="9">
        <f>B6+1</f>
        <v>46119</v>
      </c>
      <c r="C7" s="1" t="s">
        <v>8</v>
      </c>
      <c r="D7" s="6">
        <v>0</v>
      </c>
      <c r="E7" s="1"/>
      <c r="F7" s="7" cm="1">
        <f t="array" ref="F7">_xlfn.IFS(C7="Tyler",21.5,C7="Jacob",22.5,C7="Michael",21.5)</f>
        <v>21.5</v>
      </c>
      <c r="G7" s="12">
        <f t="shared" si="0"/>
        <v>0</v>
      </c>
    </row>
    <row r="8" spans="1:7" ht="15.6" x14ac:dyDescent="0.3">
      <c r="A8" s="23" t="s">
        <v>13</v>
      </c>
      <c r="B8" s="18"/>
      <c r="C8" s="19"/>
      <c r="D8" s="5">
        <f>SUM(D3:D7)</f>
        <v>6.5</v>
      </c>
      <c r="E8" s="20" t="s">
        <v>13</v>
      </c>
      <c r="F8" s="19"/>
      <c r="G8" s="13">
        <f>SUM(G3:G7)</f>
        <v>139.75</v>
      </c>
    </row>
    <row r="12" spans="1:7" x14ac:dyDescent="0.3">
      <c r="B12" s="21"/>
      <c r="C12" s="22"/>
    </row>
    <row r="13" spans="1:7" x14ac:dyDescent="0.3">
      <c r="B13" s="21"/>
      <c r="C13" s="22"/>
    </row>
    <row r="14" spans="1:7" ht="15.6" customHeight="1" x14ac:dyDescent="0.3">
      <c r="C14" s="14"/>
    </row>
    <row r="15" spans="1:7" x14ac:dyDescent="0.3">
      <c r="C15" s="14"/>
    </row>
    <row r="16" spans="1:7" x14ac:dyDescent="0.3">
      <c r="C16" s="14"/>
    </row>
    <row r="17" spans="3:3" x14ac:dyDescent="0.3">
      <c r="C17" s="14"/>
    </row>
  </sheetData>
  <mergeCells count="4">
    <mergeCell ref="A8:C8"/>
    <mergeCell ref="E8:F8"/>
    <mergeCell ref="B12:B13"/>
    <mergeCell ref="C12:C13"/>
  </mergeCells>
  <dataValidations count="2">
    <dataValidation type="list" allowBlank="1" showInputMessage="1" showErrorMessage="1" sqref="B14:B16 C5:C7" xr:uid="{3C0DD223-A383-482F-9477-AAEB2EC926C4}">
      <formula1>"Tyler, Jacob, Michael"</formula1>
    </dataValidation>
    <dataValidation type="list" allowBlank="1" showInputMessage="1" showErrorMessage="1" sqref="C3:C4" xr:uid="{FA03906B-38F0-43C0-940F-9BD59B711595}">
      <formula1>"Fatima, Harrison, Michael"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016FD-64E5-4F5B-912A-D1C9EF4D533B}">
  <dimension ref="A1:G9"/>
  <sheetViews>
    <sheetView workbookViewId="0">
      <selection activeCell="G17" sqref="G17"/>
    </sheetView>
  </sheetViews>
  <sheetFormatPr defaultRowHeight="14.4" x14ac:dyDescent="0.3"/>
  <cols>
    <col min="1" max="1" width="26.109375" customWidth="1"/>
    <col min="2" max="2" width="24.88671875" customWidth="1"/>
    <col min="3" max="3" width="24.5546875" customWidth="1"/>
    <col min="4" max="4" width="19.88671875" customWidth="1"/>
    <col min="5" max="5" width="59.33203125" customWidth="1"/>
    <col min="6" max="6" width="18.88671875" customWidth="1"/>
    <col min="7" max="7" width="23.109375" customWidth="1"/>
  </cols>
  <sheetData>
    <row r="1" spans="1:7" x14ac:dyDescent="0.3">
      <c r="A1" s="10"/>
      <c r="B1" s="11"/>
    </row>
    <row r="2" spans="1:7" x14ac:dyDescent="0.3">
      <c r="A2" s="10" t="s">
        <v>0</v>
      </c>
      <c r="B2" s="11">
        <v>46130</v>
      </c>
    </row>
    <row r="3" spans="1:7" ht="16.2" thickBot="1" x14ac:dyDescent="0.35">
      <c r="A3" s="8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3" t="s">
        <v>7</v>
      </c>
    </row>
    <row r="4" spans="1:7" ht="31.8" thickBot="1" x14ac:dyDescent="0.35">
      <c r="A4" s="9" t="s">
        <v>12</v>
      </c>
      <c r="B4" s="9">
        <v>46129</v>
      </c>
      <c r="C4" s="1" t="s">
        <v>19</v>
      </c>
      <c r="D4" s="6">
        <v>1</v>
      </c>
      <c r="E4" s="1" t="s">
        <v>21</v>
      </c>
      <c r="F4" s="7" cm="1">
        <f t="array" ref="F4">_xlfn.IFS(C4="Fatima",21.5,C4="Harrison",22.5,C4="Michael",21.5)</f>
        <v>21.5</v>
      </c>
      <c r="G4" s="12">
        <f>D4*F4</f>
        <v>21.5</v>
      </c>
    </row>
    <row r="5" spans="1:7" ht="16.2" thickBot="1" x14ac:dyDescent="0.35">
      <c r="A5" s="9"/>
      <c r="B5" s="9"/>
      <c r="C5" s="1"/>
      <c r="D5" s="6"/>
      <c r="E5" s="1"/>
      <c r="F5" s="7"/>
      <c r="G5" s="12"/>
    </row>
    <row r="6" spans="1:7" ht="16.2" thickBot="1" x14ac:dyDescent="0.35">
      <c r="A6" s="9"/>
      <c r="B6" s="9"/>
      <c r="C6" s="1"/>
      <c r="D6" s="6"/>
      <c r="E6" s="1"/>
      <c r="F6" s="7"/>
      <c r="G6" s="12"/>
    </row>
    <row r="7" spans="1:7" ht="16.2" thickBot="1" x14ac:dyDescent="0.35">
      <c r="A7" s="9"/>
      <c r="B7" s="9"/>
      <c r="C7" s="1"/>
      <c r="D7" s="6"/>
      <c r="E7" s="1"/>
      <c r="F7" s="7"/>
      <c r="G7" s="12"/>
    </row>
    <row r="8" spans="1:7" ht="16.2" thickBot="1" x14ac:dyDescent="0.35">
      <c r="A8" s="4"/>
      <c r="B8" s="9"/>
      <c r="C8" s="1"/>
      <c r="D8" s="6"/>
      <c r="E8" s="1"/>
      <c r="F8" s="7"/>
      <c r="G8" s="12"/>
    </row>
    <row r="9" spans="1:7" ht="15.6" x14ac:dyDescent="0.3">
      <c r="A9" s="23" t="s">
        <v>13</v>
      </c>
      <c r="B9" s="18"/>
      <c r="C9" s="19"/>
      <c r="D9" s="5">
        <f>SUM(D4:D8)</f>
        <v>1</v>
      </c>
      <c r="E9" s="20" t="s">
        <v>13</v>
      </c>
      <c r="F9" s="19"/>
      <c r="G9" s="13">
        <f>SUM(G4:G8)</f>
        <v>21.5</v>
      </c>
    </row>
  </sheetData>
  <mergeCells count="2">
    <mergeCell ref="A9:C9"/>
    <mergeCell ref="E9:F9"/>
  </mergeCells>
  <dataValidations count="1">
    <dataValidation type="list" allowBlank="1" showInputMessage="1" showErrorMessage="1" sqref="C4:C8" xr:uid="{D62ACBDE-1BBA-4320-AC7A-CE0833C4C6AA}">
      <formula1>"Fatima, Harrison, Michael"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86265-9B4F-4B78-A2D9-EA99283E5046}">
  <dimension ref="A2:G9"/>
  <sheetViews>
    <sheetView workbookViewId="0">
      <selection activeCell="F19" sqref="F19"/>
    </sheetView>
  </sheetViews>
  <sheetFormatPr defaultRowHeight="14.4" x14ac:dyDescent="0.3"/>
  <cols>
    <col min="2" max="2" width="17.21875" customWidth="1"/>
    <col min="3" max="3" width="18.88671875" customWidth="1"/>
    <col min="4" max="4" width="14.5546875" customWidth="1"/>
    <col min="5" max="5" width="76.109375" customWidth="1"/>
    <col min="6" max="6" width="23.21875" customWidth="1"/>
    <col min="7" max="7" width="21.33203125" customWidth="1"/>
  </cols>
  <sheetData>
    <row r="2" spans="1:7" x14ac:dyDescent="0.3">
      <c r="A2" s="10" t="s">
        <v>0</v>
      </c>
      <c r="B2" s="11">
        <v>46133</v>
      </c>
    </row>
    <row r="3" spans="1:7" ht="63" thickBot="1" x14ac:dyDescent="0.35">
      <c r="A3" s="8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3" t="s">
        <v>7</v>
      </c>
    </row>
    <row r="4" spans="1:7" ht="16.2" thickBot="1" x14ac:dyDescent="0.35">
      <c r="A4" s="9" t="s">
        <v>22</v>
      </c>
      <c r="B4" s="9">
        <v>46132</v>
      </c>
      <c r="C4" s="1" t="s">
        <v>19</v>
      </c>
      <c r="D4" s="6">
        <v>1</v>
      </c>
      <c r="E4" s="1" t="s">
        <v>23</v>
      </c>
      <c r="F4" s="7" cm="1">
        <f t="array" ref="F4">_xlfn.IFS(C4="Fatima",21.5,C4="Harrison",22.5,C4="Michael",21.5)</f>
        <v>21.5</v>
      </c>
      <c r="G4" s="12">
        <f>D4*F4</f>
        <v>21.5</v>
      </c>
    </row>
    <row r="5" spans="1:7" ht="31.8" thickBot="1" x14ac:dyDescent="0.35">
      <c r="A5" s="9" t="s">
        <v>9</v>
      </c>
      <c r="B5" s="9">
        <v>46133</v>
      </c>
      <c r="C5" s="1" t="s">
        <v>20</v>
      </c>
      <c r="D5" s="6">
        <v>1</v>
      </c>
      <c r="E5" s="1" t="s">
        <v>25</v>
      </c>
      <c r="F5" s="7" cm="1">
        <f t="array" ref="F5">_xlfn.IFS(C5="Fatima",21.5,C5="Harrison",22.5,C5="Michael",21.5)</f>
        <v>22.5</v>
      </c>
      <c r="G5" s="12">
        <f t="shared" ref="G5:G8" si="0">D5*F5</f>
        <v>22.5</v>
      </c>
    </row>
    <row r="6" spans="1:7" ht="31.8" thickBot="1" x14ac:dyDescent="0.35">
      <c r="A6" s="9" t="s">
        <v>9</v>
      </c>
      <c r="B6" s="9">
        <v>46134</v>
      </c>
      <c r="C6" s="1" t="s">
        <v>19</v>
      </c>
      <c r="D6" s="6">
        <v>1</v>
      </c>
      <c r="E6" s="1" t="s">
        <v>26</v>
      </c>
      <c r="F6" s="7" cm="1">
        <f t="array" ref="F6">_xlfn.IFS(C6="Fatima",21.5,C6="Harrison",22.5,C6="Michael",21.5)</f>
        <v>21.5</v>
      </c>
      <c r="G6" s="12">
        <f t="shared" si="0"/>
        <v>21.5</v>
      </c>
    </row>
    <row r="7" spans="1:7" ht="31.8" thickBot="1" x14ac:dyDescent="0.35">
      <c r="A7" s="9" t="s">
        <v>9</v>
      </c>
      <c r="B7" s="9">
        <v>46135</v>
      </c>
      <c r="C7" s="1" t="s">
        <v>8</v>
      </c>
      <c r="D7" s="6">
        <v>1</v>
      </c>
      <c r="E7" s="1" t="s">
        <v>27</v>
      </c>
      <c r="F7" s="7" cm="1">
        <f t="array" ref="F7">_xlfn.IFS(C7="Fatima",21.5,C7="Harrison",22.5,C7="Michael",21.5)</f>
        <v>21.5</v>
      </c>
      <c r="G7" s="12">
        <f t="shared" si="0"/>
        <v>21.5</v>
      </c>
    </row>
    <row r="8" spans="1:7" ht="16.2" thickBot="1" x14ac:dyDescent="0.35">
      <c r="A8" s="4"/>
      <c r="B8" s="9"/>
      <c r="C8" s="1"/>
      <c r="D8" s="6"/>
      <c r="E8" s="1"/>
      <c r="F8" s="7" t="e" cm="1">
        <f t="array" ref="F8">_xlfn.IFS(C8="Fatima",21.5,C8="Harrison",22.5,C8="Michael",21.5)</f>
        <v>#N/A</v>
      </c>
      <c r="G8" s="12" t="e">
        <f t="shared" si="0"/>
        <v>#N/A</v>
      </c>
    </row>
    <row r="9" spans="1:7" ht="15.6" x14ac:dyDescent="0.3">
      <c r="A9" s="23" t="s">
        <v>13</v>
      </c>
      <c r="B9" s="18"/>
      <c r="C9" s="19"/>
      <c r="D9" s="5">
        <f>SUM(D4:D8)</f>
        <v>4</v>
      </c>
      <c r="E9" s="20" t="s">
        <v>13</v>
      </c>
      <c r="F9" s="19"/>
      <c r="G9" s="13" t="e">
        <f>SUM(G4:G8)</f>
        <v>#N/A</v>
      </c>
    </row>
  </sheetData>
  <mergeCells count="2">
    <mergeCell ref="A9:C9"/>
    <mergeCell ref="E9:F9"/>
  </mergeCells>
  <phoneticPr fontId="7" type="noConversion"/>
  <dataValidations count="1">
    <dataValidation type="list" allowBlank="1" showInputMessage="1" showErrorMessage="1" sqref="C4:C8" xr:uid="{12FF5A5B-4DB5-42EA-B7C8-3E926B8A5DBC}">
      <formula1>"Fatima, Harrison, Michael"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tabSelected="1" workbookViewId="0">
      <selection activeCell="C1" sqref="C1"/>
    </sheetView>
  </sheetViews>
  <sheetFormatPr defaultRowHeight="14.4" x14ac:dyDescent="0.3"/>
  <cols>
    <col min="1" max="1" width="26.6640625" customWidth="1"/>
    <col min="2" max="2" width="27.6640625" customWidth="1"/>
    <col min="3" max="3" width="17.33203125" customWidth="1"/>
  </cols>
  <sheetData>
    <row r="1" spans="1:3" x14ac:dyDescent="0.3">
      <c r="A1" t="s">
        <v>16</v>
      </c>
      <c r="B1" t="s">
        <v>17</v>
      </c>
      <c r="C1" t="s">
        <v>18</v>
      </c>
    </row>
    <row r="2" spans="1:3" x14ac:dyDescent="0.3">
      <c r="A2" t="s">
        <v>19</v>
      </c>
    </row>
    <row r="3" spans="1:3" x14ac:dyDescent="0.3">
      <c r="A3" t="s">
        <v>20</v>
      </c>
    </row>
    <row r="4" spans="1:3" x14ac:dyDescent="0.3">
      <c r="A4" t="s">
        <v>8</v>
      </c>
    </row>
    <row r="7" spans="1:3" x14ac:dyDescent="0.3">
      <c r="A7" s="16" t="s">
        <v>17</v>
      </c>
      <c r="B7" s="15">
        <f>'Week ending 4.21'!D9+'week ending 4.18'!D9+'Week Ending 4.4 '!D8</f>
        <v>11.5</v>
      </c>
    </row>
    <row r="8" spans="1:3" x14ac:dyDescent="0.3">
      <c r="A8" s="16" t="s">
        <v>18</v>
      </c>
      <c r="B8" s="17">
        <f>B7*21.5</f>
        <v>247.25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 Ending 4.4 </vt:lpstr>
      <vt:lpstr>week ending 4.18</vt:lpstr>
      <vt:lpstr>Week ending 4.21</vt:lpstr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Fatima Davila</cp:lastModifiedBy>
  <cp:revision/>
  <dcterms:created xsi:type="dcterms:W3CDTF">2026-02-27T03:14:24Z</dcterms:created>
  <dcterms:modified xsi:type="dcterms:W3CDTF">2026-04-21T20:47:40Z</dcterms:modified>
  <cp:category/>
  <cp:contentStatus/>
</cp:coreProperties>
</file>